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G:\공유 드라이브\인성진로센터 공유드라이브(용량무제한)\공용\07_인성교육\01_군 인성교육\01_국방부\99. 강사 배정 시스템\참고자료 전달 파일\"/>
    </mc:Choice>
  </mc:AlternateContent>
  <xr:revisionPtr revIDLastSave="0" documentId="13_ncr:1_{BC29C1AA-43BB-431B-8894-5FC47DFE7BB7}" xr6:coauthVersionLast="46" xr6:coauthVersionMax="46" xr10:uidLastSave="{00000000-0000-0000-0000-000000000000}"/>
  <bookViews>
    <workbookView xWindow="28680" yWindow="-90" windowWidth="29040" windowHeight="15720" xr2:uid="{00000000-000D-0000-FFFF-FFFF00000000}"/>
  </bookViews>
  <sheets>
    <sheet name="6월 2주차 결과보고" sheetId="1" r:id="rId1"/>
  </sheets>
  <definedNames>
    <definedName name="_xlnm._FilterDatabase" localSheetId="0" hidden="1">'6월 2주차 결과보고'!$B$3:$AA$6</definedName>
  </definedNames>
  <calcPr calcId="181029"/>
</workbook>
</file>

<file path=xl/calcChain.xml><?xml version="1.0" encoding="utf-8"?>
<calcChain xmlns="http://schemas.openxmlformats.org/spreadsheetml/2006/main">
  <c r="P6" i="1" l="1"/>
  <c r="Q6" i="1"/>
  <c r="R6" i="1"/>
  <c r="S6" i="1"/>
  <c r="T6" i="1"/>
  <c r="U6" i="1"/>
  <c r="V6" i="1"/>
  <c r="W6" i="1"/>
  <c r="X6" i="1"/>
  <c r="Y6" i="1"/>
  <c r="Z6" i="1"/>
  <c r="M6" i="1"/>
  <c r="O6" i="1"/>
  <c r="L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MND-PC</author>
  </authors>
  <commentList>
    <comment ref="B3" authorId="0" shapeId="0" xr:uid="{00000000-0006-0000-0000-000001000000}">
      <text>
        <r>
          <rPr>
            <b/>
            <sz val="9"/>
            <color rgb="FF000000"/>
            <rFont val="돋움"/>
            <family val="3"/>
            <charset val="129"/>
          </rPr>
          <t>시행기간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순으로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번호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정렬</t>
        </r>
        <r>
          <rPr>
            <b/>
            <sz val="9"/>
            <color rgb="FF000000"/>
            <rFont val="Tahoma"/>
            <family val="2"/>
          </rPr>
          <t xml:space="preserve"> </t>
        </r>
      </text>
    </comment>
    <comment ref="K3" authorId="0" shapeId="0" xr:uid="{00000000-0006-0000-0000-000002000000}">
      <text>
        <r>
          <rPr>
            <b/>
            <sz val="9"/>
            <color rgb="FF000000"/>
            <rFont val="돋움"/>
            <family val="3"/>
            <charset val="129"/>
          </rPr>
          <t>날짜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시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요일까지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작성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부탁드립니다</t>
        </r>
        <r>
          <rPr>
            <b/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<sst xmlns="http://schemas.openxmlformats.org/spreadsheetml/2006/main" count="40" uniqueCount="38">
  <si>
    <t xml:space="preserve">  누적</t>
  </si>
  <si>
    <t>참여인원</t>
  </si>
  <si>
    <t>교육장소</t>
  </si>
  <si>
    <t>투입강사</t>
  </si>
  <si>
    <t>투입강사 수</t>
  </si>
  <si>
    <t>시행기간</t>
  </si>
  <si>
    <t>그룹 수</t>
  </si>
  <si>
    <t>실시현황</t>
  </si>
  <si>
    <t>특이사항</t>
  </si>
  <si>
    <t>계획인원</t>
  </si>
  <si>
    <t>군 구분</t>
  </si>
  <si>
    <t>최초계획</t>
  </si>
  <si>
    <t>종교시설</t>
  </si>
  <si>
    <t>그룹</t>
  </si>
  <si>
    <t>기간</t>
  </si>
  <si>
    <t>식당</t>
  </si>
  <si>
    <t>광역</t>
  </si>
  <si>
    <t>기초</t>
  </si>
  <si>
    <t>기타</t>
  </si>
  <si>
    <t>횟수</t>
  </si>
  <si>
    <t>업체명</t>
  </si>
  <si>
    <t>월</t>
  </si>
  <si>
    <t>기관</t>
  </si>
  <si>
    <t>계</t>
  </si>
  <si>
    <t>교육장</t>
  </si>
  <si>
    <t>부대명</t>
  </si>
  <si>
    <t>경기</t>
  </si>
  <si>
    <t>번호</t>
  </si>
  <si>
    <t>육군</t>
  </si>
  <si>
    <t>주차</t>
  </si>
  <si>
    <t>생활관</t>
  </si>
  <si>
    <t>지역</t>
  </si>
  <si>
    <t>푸른나무재단</t>
    <phoneticPr fontId="6" type="noConversion"/>
  </si>
  <si>
    <t>양주</t>
  </si>
  <si>
    <t>6.9(월)~6.11(수)</t>
  </si>
  <si>
    <t>푸른나무부대</t>
    <phoneticPr fontId="6" type="noConversion"/>
  </si>
  <si>
    <t>강은지</t>
    <phoneticPr fontId="8" type="noConversion"/>
  </si>
  <si>
    <t>[1그룹 푸른나무재단] 6월 2주차 '25년 병 집중인성교육 주간 결과보고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</si>
</sst>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A6"/>
  <sheetViews>
    <sheetView tabSelected="1" topLeftCell="B1" zoomScale="70" zoomScaleNormal="70" zoomScaleSheetLayoutView="75" workbookViewId="0">
      <selection activeCell="N6" sqref="N6"/>
    </sheetView>
  </sheetViews>
  <sheetFormatPr defaultColWidth="9" defaultRowHeight="16.5" x14ac:dyDescent="0.3"/>
  <cols>
    <col min="1" max="1" width="3.875" customWidth="1"/>
    <col min="2" max="2" width="6.375" bestFit="1" customWidth="1"/>
    <col min="3" max="3" width="5.25" hidden="1" customWidth="1"/>
    <col min="4" max="4" width="13" bestFit="1" customWidth="1"/>
    <col min="5" max="5" width="13.125" bestFit="1" customWidth="1"/>
    <col min="6" max="6" width="58.875" bestFit="1" customWidth="1"/>
    <col min="7" max="8" width="5.625" bestFit="1" customWidth="1"/>
    <col min="9" max="10" width="6" customWidth="1"/>
    <col min="11" max="11" width="23.125" customWidth="1"/>
    <col min="12" max="13" width="14.25" bestFit="1" customWidth="1"/>
    <col min="14" max="14" width="64.875" customWidth="1"/>
    <col min="15" max="15" width="16.375" customWidth="1"/>
    <col min="16" max="21" width="5.5" customWidth="1"/>
    <col min="22" max="25" width="7.625" customWidth="1"/>
    <col min="26" max="26" width="7.625" style="1" customWidth="1"/>
    <col min="27" max="27" width="71.375" bestFit="1" customWidth="1"/>
  </cols>
  <sheetData>
    <row r="1" spans="2:27" ht="26.25" x14ac:dyDescent="0.3">
      <c r="B1" s="10" t="s">
        <v>37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2:27" x14ac:dyDescent="0.3">
      <c r="B3" s="23" t="s">
        <v>27</v>
      </c>
      <c r="C3" s="24"/>
      <c r="D3" s="16" t="s">
        <v>20</v>
      </c>
      <c r="E3" s="16" t="s">
        <v>10</v>
      </c>
      <c r="F3" s="16" t="s">
        <v>25</v>
      </c>
      <c r="G3" s="23" t="s">
        <v>31</v>
      </c>
      <c r="H3" s="24"/>
      <c r="I3" s="16" t="s">
        <v>21</v>
      </c>
      <c r="J3" s="16" t="s">
        <v>29</v>
      </c>
      <c r="K3" s="16" t="s">
        <v>5</v>
      </c>
      <c r="L3" s="16" t="s">
        <v>9</v>
      </c>
      <c r="M3" s="18" t="s">
        <v>1</v>
      </c>
      <c r="N3" s="18" t="s">
        <v>3</v>
      </c>
      <c r="O3" s="18" t="s">
        <v>4</v>
      </c>
      <c r="P3" s="11" t="s">
        <v>11</v>
      </c>
      <c r="Q3" s="12"/>
      <c r="R3" s="13"/>
      <c r="S3" s="11" t="s">
        <v>7</v>
      </c>
      <c r="T3" s="12"/>
      <c r="U3" s="13"/>
      <c r="V3" s="11" t="s">
        <v>2</v>
      </c>
      <c r="W3" s="12"/>
      <c r="X3" s="12"/>
      <c r="Y3" s="12"/>
      <c r="Z3" s="13"/>
      <c r="AA3" s="14" t="s">
        <v>8</v>
      </c>
    </row>
    <row r="4" spans="2:27" x14ac:dyDescent="0.3">
      <c r="B4" s="2" t="s">
        <v>0</v>
      </c>
      <c r="C4" s="2" t="s">
        <v>22</v>
      </c>
      <c r="D4" s="17"/>
      <c r="E4" s="17"/>
      <c r="F4" s="17"/>
      <c r="G4" s="3" t="s">
        <v>16</v>
      </c>
      <c r="H4" s="3" t="s">
        <v>17</v>
      </c>
      <c r="I4" s="17"/>
      <c r="J4" s="17"/>
      <c r="K4" s="17"/>
      <c r="L4" s="17"/>
      <c r="M4" s="19"/>
      <c r="N4" s="19"/>
      <c r="O4" s="19"/>
      <c r="P4" s="3" t="s">
        <v>14</v>
      </c>
      <c r="Q4" s="3" t="s">
        <v>6</v>
      </c>
      <c r="R4" s="3" t="s">
        <v>19</v>
      </c>
      <c r="S4" s="3" t="s">
        <v>14</v>
      </c>
      <c r="T4" s="3" t="s">
        <v>13</v>
      </c>
      <c r="U4" s="3" t="s">
        <v>19</v>
      </c>
      <c r="V4" s="3" t="s">
        <v>30</v>
      </c>
      <c r="W4" s="3" t="s">
        <v>12</v>
      </c>
      <c r="X4" s="3" t="s">
        <v>15</v>
      </c>
      <c r="Y4" s="3" t="s">
        <v>24</v>
      </c>
      <c r="Z4" s="3" t="s">
        <v>18</v>
      </c>
      <c r="AA4" s="15"/>
    </row>
    <row r="5" spans="2:27" x14ac:dyDescent="0.3">
      <c r="B5" s="6">
        <v>1</v>
      </c>
      <c r="C5" s="7"/>
      <c r="D5" s="6" t="s">
        <v>32</v>
      </c>
      <c r="E5" s="8" t="s">
        <v>28</v>
      </c>
      <c r="F5" s="8" t="s">
        <v>35</v>
      </c>
      <c r="G5" s="8" t="s">
        <v>26</v>
      </c>
      <c r="H5" s="8" t="s">
        <v>33</v>
      </c>
      <c r="I5" s="8">
        <v>6</v>
      </c>
      <c r="J5" s="8">
        <v>2</v>
      </c>
      <c r="K5" s="8" t="s">
        <v>34</v>
      </c>
      <c r="L5" s="9">
        <v>25</v>
      </c>
      <c r="M5" s="9">
        <v>22</v>
      </c>
      <c r="N5" s="9" t="s">
        <v>36</v>
      </c>
      <c r="O5" s="9">
        <v>1</v>
      </c>
      <c r="P5" s="9">
        <v>3</v>
      </c>
      <c r="Q5" s="8">
        <v>1</v>
      </c>
      <c r="R5" s="8">
        <v>3</v>
      </c>
      <c r="S5" s="9">
        <v>3</v>
      </c>
      <c r="T5" s="8">
        <v>1</v>
      </c>
      <c r="U5" s="8">
        <v>3</v>
      </c>
      <c r="V5" s="6"/>
      <c r="W5" s="6"/>
      <c r="X5" s="6"/>
      <c r="Y5" s="6"/>
      <c r="Z5" s="6">
        <v>1</v>
      </c>
      <c r="AA5" s="6"/>
    </row>
    <row r="6" spans="2:27" x14ac:dyDescent="0.3">
      <c r="B6" s="20" t="s">
        <v>23</v>
      </c>
      <c r="C6" s="21"/>
      <c r="D6" s="21"/>
      <c r="E6" s="21"/>
      <c r="F6" s="21"/>
      <c r="G6" s="21"/>
      <c r="H6" s="21"/>
      <c r="I6" s="21"/>
      <c r="J6" s="21"/>
      <c r="K6" s="22"/>
      <c r="L6" s="4">
        <f>SUBTOTAL(9,L5:L5)</f>
        <v>25</v>
      </c>
      <c r="M6" s="4">
        <f>SUBTOTAL(9,M5:M5)</f>
        <v>22</v>
      </c>
      <c r="N6" s="5"/>
      <c r="O6" s="4">
        <f t="shared" ref="O6:Z6" si="0">SUBTOTAL(9,O5:O5)</f>
        <v>1</v>
      </c>
      <c r="P6" s="4">
        <f t="shared" si="0"/>
        <v>3</v>
      </c>
      <c r="Q6" s="4">
        <f t="shared" si="0"/>
        <v>1</v>
      </c>
      <c r="R6" s="4">
        <f t="shared" si="0"/>
        <v>3</v>
      </c>
      <c r="S6" s="4">
        <f t="shared" si="0"/>
        <v>3</v>
      </c>
      <c r="T6" s="4">
        <f t="shared" si="0"/>
        <v>1</v>
      </c>
      <c r="U6" s="4">
        <f t="shared" si="0"/>
        <v>3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1</v>
      </c>
      <c r="AA6" s="5"/>
    </row>
  </sheetData>
  <autoFilter ref="B3:AA6" xr:uid="{00000000-0009-0000-0000-000000000000}">
    <filterColumn colId="0" showButton="0"/>
    <filterColumn colId="5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</autoFilter>
  <mergeCells count="18">
    <mergeCell ref="B6:K6"/>
    <mergeCell ref="K3:K4"/>
    <mergeCell ref="J3:J4"/>
    <mergeCell ref="I3:I4"/>
    <mergeCell ref="G3:H3"/>
    <mergeCell ref="F3:F4"/>
    <mergeCell ref="E3:E4"/>
    <mergeCell ref="D3:D4"/>
    <mergeCell ref="B3:C3"/>
    <mergeCell ref="B1:Z1"/>
    <mergeCell ref="V3:Z3"/>
    <mergeCell ref="AA3:AA4"/>
    <mergeCell ref="L3:L4"/>
    <mergeCell ref="M3:M4"/>
    <mergeCell ref="N3:N4"/>
    <mergeCell ref="O3:O4"/>
    <mergeCell ref="P3:R3"/>
    <mergeCell ref="S3:U3"/>
  </mergeCells>
  <phoneticPr fontId="6" type="noConversion"/>
  <pageMargins left="0.69986110925674438" right="0.69986110925674438" top="0.75" bottom="0.75" header="0.30000001192092896" footer="0.30000001192092896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6월 2주차 결과보고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BTF</cp:lastModifiedBy>
  <cp:revision>15</cp:revision>
  <dcterms:created xsi:type="dcterms:W3CDTF">2022-05-24T07:21:40Z</dcterms:created>
  <dcterms:modified xsi:type="dcterms:W3CDTF">2026-01-20T00:51:29Z</dcterms:modified>
  <cp:version>1000.0100.01</cp:version>
</cp:coreProperties>
</file>